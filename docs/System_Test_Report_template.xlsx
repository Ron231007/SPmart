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filterPrivacy="1" defaultThemeVersion="124226"/>
  <xr:revisionPtr revIDLastSave="0" documentId="13_ncr:1_{D8FC2A88-4E57-4854-891D-27EE0294786D}" xr6:coauthVersionLast="47" xr6:coauthVersionMax="47" xr10:uidLastSave="{00000000-0000-0000-0000-000000000000}"/>
  <bookViews>
    <workbookView xWindow="-98" yWindow="-98" windowWidth="21795" windowHeight="12975" activeTab="1" xr2:uid="{00000000-000D-0000-FFFF-FFFF00000000}"/>
  </bookViews>
  <sheets>
    <sheet name="Overall Test Report" sheetId="2" r:id="rId1"/>
    <sheet name="Test Cases &amp; Results" sheetId="1" r:id="rId2"/>
    <sheet name="Enums"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B33" i="1"/>
  <c r="B34" i="1" s="1"/>
  <c r="B35" i="1" s="1"/>
  <c r="B32" i="1"/>
  <c r="B4" i="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C4" i="2"/>
  <c r="C6" i="2" l="1"/>
  <c r="C5" i="2"/>
  <c r="C3" i="2" l="1"/>
</calcChain>
</file>

<file path=xl/sharedStrings.xml><?xml version="1.0" encoding="utf-8"?>
<sst xmlns="http://schemas.openxmlformats.org/spreadsheetml/2006/main" count="277" uniqueCount="190">
  <si>
    <t>Total Test Cases</t>
  </si>
  <si>
    <t xml:space="preserve">Passed </t>
  </si>
  <si>
    <t>Failed</t>
  </si>
  <si>
    <t>Not Tested</t>
  </si>
  <si>
    <t>TestCase_ID</t>
  </si>
  <si>
    <t>Requirement_ID</t>
  </si>
  <si>
    <t>Priority</t>
  </si>
  <si>
    <t>Description/Test Summary</t>
  </si>
  <si>
    <t>Pre-Condition</t>
  </si>
  <si>
    <t>Test Steps</t>
  </si>
  <si>
    <t>Expected Result</t>
  </si>
  <si>
    <t>Actual Result</t>
  </si>
  <si>
    <t>Test Result</t>
  </si>
  <si>
    <t>Mid Impact</t>
  </si>
  <si>
    <t>Pass</t>
  </si>
  <si>
    <t>Fail</t>
  </si>
  <si>
    <t>High Impact</t>
  </si>
  <si>
    <t>Low Impact</t>
  </si>
  <si>
    <t>REQ-06</t>
  </si>
  <si>
    <t>REQ-01</t>
  </si>
  <si>
    <t>REQ-02</t>
  </si>
  <si>
    <t>REQ-03</t>
  </si>
  <si>
    <t>REQ-05</t>
  </si>
  <si>
    <t>REQ-08</t>
  </si>
  <si>
    <t>REQ-09</t>
  </si>
  <si>
    <t>REQ-010</t>
  </si>
  <si>
    <t>REQ-011</t>
  </si>
  <si>
    <t>REQ-012</t>
  </si>
  <si>
    <t>REQ-013</t>
  </si>
  <si>
    <t>REQ-014</t>
  </si>
  <si>
    <t>REQ-015</t>
  </si>
  <si>
    <t>Put object within 10cm of ultrasound.</t>
  </si>
  <si>
    <t>LCD Turns on and prompts user to choose if they are an "Admin" or "Customer"</t>
  </si>
  <si>
    <t>LCD turns on and shows "Admin" and "Customer" options</t>
  </si>
  <si>
    <t>REQ-016</t>
  </si>
  <si>
    <t>REQ-017</t>
  </si>
  <si>
    <t>REQ-018</t>
  </si>
  <si>
    <t>REQ-019</t>
  </si>
  <si>
    <t>REQ-020</t>
  </si>
  <si>
    <t>REQ-21</t>
  </si>
  <si>
    <t>REQ-22</t>
  </si>
  <si>
    <t>REQ-23</t>
  </si>
  <si>
    <t>REQ-24</t>
  </si>
  <si>
    <t>REQ-25</t>
  </si>
  <si>
    <t>REQ-26</t>
  </si>
  <si>
    <t>Prompts user to select if they are staff or customer</t>
  </si>
  <si>
    <t>Keypad is functional</t>
  </si>
  <si>
    <t>Press 1 for Admin or 2 for Customer</t>
  </si>
  <si>
    <t>LCD prompts for Login for both outcomes but only sign up for Customer</t>
  </si>
  <si>
    <t>Prompts user to login/signup or use guest login</t>
  </si>
  <si>
    <t>LCD is connected, Keypad is functional</t>
  </si>
  <si>
    <t>Select Login, Signup or Guest login function for Customer and Login for Admin</t>
  </si>
  <si>
    <t>LCD shows appropriate options and prompts for both Admin and Customer</t>
  </si>
  <si>
    <t>Invalid option shows up</t>
  </si>
  <si>
    <t>Select a number not prompted</t>
  </si>
  <si>
    <t>LCD displays "Invalid option" and "select1,2 or 3</t>
  </si>
  <si>
    <t>Guest Login Process</t>
  </si>
  <si>
    <t>System is ready for guest login and database is ready to deduct stock</t>
  </si>
  <si>
    <t>Select 3 for guest login</t>
  </si>
  <si>
    <t>LCD displays "1. Scan Products" and "2. View Cart"</t>
  </si>
  <si>
    <t>Login Function</t>
  </si>
  <si>
    <t>Valid user credentials in database</t>
  </si>
  <si>
    <t>Enter correct/incorrect ID and PIN.</t>
  </si>
  <si>
    <t>Correct credentials display "Login success", incorrect shows retry options.</t>
  </si>
  <si>
    <t>database pre configured to generate valid ID</t>
  </si>
  <si>
    <t>Select signup</t>
  </si>
  <si>
    <t>LCD Displays "ID &lt;generated ID&gt;"</t>
  </si>
  <si>
    <t>Password validation rules in place, LCD connected.</t>
  </si>
  <si>
    <t>Card linking feature enabled, user has option to link or skip.</t>
  </si>
  <si>
    <t>User selects Yes/No to link card.</t>
  </si>
  <si>
    <t>LCD prompts to link a card, or skip option.</t>
  </si>
  <si>
    <t>Users are prompted to link a card to their account for payment</t>
  </si>
  <si>
    <t>If the user decides to link their card, store the credentials of the user in the database.</t>
  </si>
  <si>
    <t>Database configured to store card credentials.</t>
  </si>
  <si>
    <t>User selects to link a card.</t>
  </si>
  <si>
    <t>User's card credentials are stored in the database.</t>
  </si>
  <si>
    <t>Prompt user to login with their new credentials after signup.</t>
  </si>
  <si>
    <t>After signup, user is prompted to login.</t>
  </si>
  <si>
    <t>Scan a valid product barcode.</t>
  </si>
  <si>
    <t>Action after valid barcode scan.</t>
  </si>
  <si>
    <t>Barcode scanning functional, cart logic implemented.</t>
  </si>
  <si>
    <t>LCD shows product name, price, quantity, and total.</t>
  </si>
  <si>
    <t>Handle alcoholic product barcode scan.</t>
  </si>
  <si>
    <t>Alcoholic product detected in database, staff verification enabled.</t>
  </si>
  <si>
    <t>LCD shows login screen.</t>
  </si>
  <si>
    <t>View items in the cart.</t>
  </si>
  <si>
    <t>Navigate through the cart.</t>
  </si>
  <si>
    <t>Cart navigation implemented, items in cart.</t>
  </si>
  <si>
    <t>Item in cart, system allows item removal.</t>
  </si>
  <si>
    <t>Exit the cart view.</t>
  </si>
  <si>
    <t>Press "*" to exit cart.</t>
  </si>
  <si>
    <t>Initiate payment process.</t>
  </si>
  <si>
    <t>Press "0" to initiate payment.</t>
  </si>
  <si>
    <t>Cart is ready for payment and in the View Cart page.</t>
  </si>
  <si>
    <t>ATM payment and PIN validation.</t>
  </si>
  <si>
    <t>ATM payment system integrated, PIN database available.</t>
  </si>
  <si>
    <t>PayWave RFID payment.</t>
  </si>
  <si>
    <t>RFID reader connected and working.</t>
  </si>
  <si>
    <t>Scan RFID card for payment.</t>
  </si>
  <si>
    <t>Pay using points.</t>
  </si>
  <si>
    <t>LCD prompts: "Are you sure you want to clear your cart?"</t>
  </si>
  <si>
    <t>Clearing the order.</t>
  </si>
  <si>
    <t>Cart cleared, LCD resets, scanning can continue.</t>
  </si>
  <si>
    <t>Cancel cart clearing.</t>
  </si>
  <si>
    <t>Cart clearing prompt active.</t>
  </si>
  <si>
    <t>Go back to scanning/ View card page</t>
  </si>
  <si>
    <t>LCD will light up if ultrasound detects object within 10 cm</t>
  </si>
  <si>
    <t>Ultrasound distance &gt;10,LCD OFF</t>
  </si>
  <si>
    <t>REQ-04,REQ7</t>
  </si>
  <si>
    <t>Requirement_ID2</t>
  </si>
  <si>
    <t>Generate a valid ID and display it for customer to note</t>
  </si>
  <si>
    <t>Ask user to key in a strong password of 8 digits with at least 4 different digits</t>
  </si>
  <si>
    <t>User enters a strong/weak password.</t>
  </si>
  <si>
    <t>LCD prompts if user wants to link ATM card if password is strong otherwise ask use to key in password again</t>
  </si>
  <si>
    <t>Handle barcode scanning and add the product to the cart.</t>
  </si>
  <si>
    <t>Barcode scanner connected, product data in the database</t>
  </si>
  <si>
    <t xml:space="preserve">ID is queried to database and product information is obtained and displayed. </t>
  </si>
  <si>
    <t>Scan barcode</t>
  </si>
  <si>
    <t xml:space="preserve">1. Scan alcoholic product
2. key in wrong credentials on purpose more than 3 times
3. key in correct credentials </t>
  </si>
  <si>
    <t>LCD prompts: "Alcoholic Item" and "Please Approach staff".
LCD prompts staff to login
If credentials are keyed in wrongly for more than 3 times, led and buzzer will light up and ring respectively until switch is switched off
Then staff have another 3 times to login
When the credentials are correct, product will be added to card and lcd screen will show the product name, price and quantity</t>
  </si>
  <si>
    <t>User presses the “2” key.</t>
  </si>
  <si>
    <t>Press "2" to view cart:
- Without items in cart
- With one item in card
- With 2 items in card
- With more than 2 items in card</t>
  </si>
  <si>
    <t>Without items in cart: Show message suggesting card is empty 
With one item in card:
•	Line 1: “1. &lt;Item name&gt;
•	Line 2: “&lt;-End of Cart--&gt;”
With 2 items in card:
LCD Output(2 or more items):
•	Line 1: "1. &lt;Item name&gt;"
•	Line 2: "2. &lt;Item name&gt;”
With more than 2 items in card:
LCD Output(2 or more items):
•	Line 1: "1. &lt;Item name&gt;"
•	Line 2: "2. &lt;Item name&gt;”</t>
  </si>
  <si>
    <t>Without items in cart: 
•	Line 1: “No Items scanned"
•	Line 2 : "Scan items first”
With one item in card:
•	Line 1: “1. &lt;Item name&gt;
•	Line 2: “&lt;-End of Cart--&gt;”
With 2 items in card:
LCD Output(2 or more items):
•	Line 1: "1. &lt;Item name&gt;"
•	Line 2: "2. &lt;Item name&gt;”
With more than 2 items in card:
LCD Output(2 or more items):
•	Line 1: "1. &lt;Item name&gt;"
•	Line 2: "2. &lt;Item name&gt;”</t>
  </si>
  <si>
    <t xml:space="preserve">Press "#" to view the next 2 item/s in cart if applicable </t>
  </si>
  <si>
    <t>LCD shows the next item/s if applicable.</t>
  </si>
  <si>
    <t>Press the number corresponding to the item and press "#" to initiate removal of the item. Press '#' again to confirm or '*' to cancel removal of item"</t>
  </si>
  <si>
    <t>1. Scan product
2. view checkout
3. select product 
4. press '#'
5. press '*' 
6. check cart should remain the same
7. Repeat steps 2 to 5 but this time press '#' for step 5. Item shd be removed</t>
  </si>
  <si>
    <t>1. Scan product
2. view checkout
3. select product 
4. press '#'
5. press '*' 
6. check cart  remain the same
7. Repeat steps 2 to 5 but this time press '#' for step 5. Item is removed</t>
  </si>
  <si>
    <t>low Impact</t>
  </si>
  <si>
    <t>User is currently viewing cart with at least 1 product.</t>
  </si>
  <si>
    <t>LCD returns to the previous screen where they ask user to scan product or view cart</t>
  </si>
  <si>
    <t>LCD displays:
•	Line 1: “1.Scan Products” 
•	Line 2: "2.View Cart "</t>
  </si>
  <si>
    <t>LCD displays total amount to 2 decimal points and applicable payment options.</t>
  </si>
  <si>
    <t>Select ATM, enter card ID and PIN.</t>
  </si>
  <si>
    <t>LCD shows "Payment Successful" OR
"Invalid ID/PIN" and prompts user which payment method they wish to use</t>
  </si>
  <si>
    <t>LCD displays "Payment Successful" OR
goes back to prompting user which payment method they wish to use if they did not scan the rfid card in 10seconds</t>
  </si>
  <si>
    <t>User is logged in.</t>
  </si>
  <si>
    <t xml:space="preserve">Make payment twice under 2 users with 1 having more than 100 points and one with less than 100 points
</t>
  </si>
  <si>
    <t>Less than 100 points: 
LCD display for 3 seconds before going back to the page to ask user for payment method: 	
		•Line 1: "Insuffienent"
		•Line 2: "points"
More than 100 points: 
LDC display:
		•Line1: “Before: $X.XX”
		•Line 2: “After: $X.XX”
When '#' is pressed, points will be deducted and checkout process ends if points can cover total cost, otherwise, it will ask user for other payment methods.  When pressed '*', transaction is cancelled</t>
  </si>
  <si>
    <t>There are items in the Cart and user is viewing the cart page</t>
  </si>
  <si>
    <t>Initiate cart prompt.</t>
  </si>
  <si>
    <t xml:space="preserve">Press "3" in cart view to initiate clear cart
</t>
  </si>
  <si>
    <t xml:space="preserve">LCD prompts: "Are you sure you want to clear your cart?". </t>
  </si>
  <si>
    <t>Press "#" to confirm cart clearance.
Check cart is cleared</t>
  </si>
  <si>
    <t>Press "*" to cancel cart clearing.
Check that cart is not cleared</t>
  </si>
  <si>
    <t>REQ-27</t>
  </si>
  <si>
    <t>Sign up and login function on website</t>
  </si>
  <si>
    <t>User has a valid ID or database is ready to generate an ID</t>
  </si>
  <si>
    <t>User either logs in using valid ID credentials or sign up with the database generated ID and come up with their own valid password</t>
  </si>
  <si>
    <t>Login: Brought me to products page. Signup: Prompted me to enter a password and after that link ATM card.</t>
  </si>
  <si>
    <t>REQ-28</t>
  </si>
  <si>
    <t>Online purchasing</t>
  </si>
  <si>
    <t>User has logged in and in the product page</t>
  </si>
  <si>
    <t>Add a product to the cart and remove it</t>
  </si>
  <si>
    <t>Add product to cart, go to cart and be able to remove it and checkout</t>
  </si>
  <si>
    <t>Added Ice Cream and Salmon to my cart, removed salmon and was able to checkout.</t>
  </si>
  <si>
    <t>REQ-29</t>
  </si>
  <si>
    <t>Pickup or Delivery option</t>
  </si>
  <si>
    <t>User must be at checkout page</t>
  </si>
  <si>
    <t>At the checkout page, select either Pickup or Delivery</t>
  </si>
  <si>
    <t>Pickup: A QR code is generated and when scanned will show order details. Delivery:Payment will be automatica through their ATM details and website will display a delivery schedule</t>
  </si>
  <si>
    <t>REQ-30</t>
  </si>
  <si>
    <t>Online payment</t>
  </si>
  <si>
    <t>User has selected delivery</t>
  </si>
  <si>
    <t>Select delivery</t>
  </si>
  <si>
    <t xml:space="preserve">Bring user to a page which displays how much their order is </t>
  </si>
  <si>
    <t>Shows me how much the order is and how much delivery fee is</t>
  </si>
  <si>
    <t>Update Item count in cart or Remove item from cart</t>
  </si>
  <si>
    <t>User has items in cart</t>
  </si>
  <si>
    <t>Update items in cart by selecting number of items you want instead and remove item from cart completely.</t>
  </si>
  <si>
    <t>Item count in cart changes and item is able to be completely removed from cart.</t>
  </si>
  <si>
    <t>Changed number of wines in cart from 1 to 2. Also was able to remove butter from cart</t>
  </si>
  <si>
    <t>Lock account if too many failed attempts to log in</t>
  </si>
  <si>
    <t>User has logged in too many times</t>
  </si>
  <si>
    <t>User account will be locked and the time will be dependent on how many wrong attempts there are</t>
  </si>
  <si>
    <t>User enter wrong login credentials more than 5 times.</t>
  </si>
  <si>
    <t>Entered credentials wrongly 5 times and account was locked for 1 minute. Entered wrong credentials one more time and account was locked for 2 minutes.</t>
  </si>
  <si>
    <t>pass</t>
  </si>
  <si>
    <t>QR Code generation for pickup orders</t>
  </si>
  <si>
    <t>User has completed payment and selected pickup</t>
  </si>
  <si>
    <t>Select pickup option for your order</t>
  </si>
  <si>
    <t>QR code is generated and scanning it will show your order details</t>
  </si>
  <si>
    <t>QR code is generated and shows my order details</t>
  </si>
  <si>
    <t>REQ-31</t>
  </si>
  <si>
    <t>REQ-32</t>
  </si>
  <si>
    <t>REQ-33</t>
  </si>
  <si>
    <t>SYSTEM TEST FOR WEBSITE</t>
  </si>
  <si>
    <t>If user is logging in, bring user to page with products. If user is signing up with the auto generated ID, prompt user to generate password and in the same page below, optional for user to register ATM card if they wish to order delivery.</t>
  </si>
  <si>
    <t>Pickup: A QR code is generated and when scanned will show order details. Delivery:Payment will be automatica through their ATM details and website will display a delivery schedule. If user does not have a card linked, prompt user to link card as without an ATM card linked, they are unable to pay online for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</si>
</sst>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9"/>
      <color rgb="FF333333"/>
      <name val="Verdana"/>
      <family val="2"/>
    </font>
    <font>
      <sz val="9"/>
      <color theme="1"/>
      <name val="Verdana"/>
      <family val="2"/>
    </font>
    <font>
      <sz val="28"/>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1" fillId="3" borderId="1" xfId="0" applyFont="1" applyFill="1" applyBorder="1"/>
    <xf numFmtId="0" fontId="1" fillId="2" borderId="1" xfId="0" applyFont="1" applyFill="1" applyBorder="1"/>
    <xf numFmtId="0" fontId="1" fillId="4" borderId="1" xfId="0" applyFont="1" applyFill="1" applyBorder="1"/>
    <xf numFmtId="0" fontId="1" fillId="5" borderId="1" xfId="0" applyFont="1" applyFill="1" applyBorder="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2" fillId="0" borderId="1" xfId="0" quotePrefix="1" applyFont="1" applyBorder="1" applyAlignment="1">
      <alignment horizontal="left" vertical="top" wrapText="1"/>
    </xf>
    <xf numFmtId="0" fontId="2" fillId="0" borderId="1" xfId="0" quotePrefix="1" applyFont="1" applyBorder="1" applyAlignment="1">
      <alignment vertical="top" wrapText="1"/>
    </xf>
    <xf numFmtId="0" fontId="1" fillId="6" borderId="3" xfId="0" applyFont="1" applyFill="1" applyBorder="1" applyAlignment="1">
      <alignment wrapText="1"/>
    </xf>
    <xf numFmtId="0" fontId="1" fillId="6" borderId="2" xfId="0" applyFont="1" applyFill="1" applyBorder="1" applyAlignment="1">
      <alignment wrapText="1"/>
    </xf>
    <xf numFmtId="0" fontId="1" fillId="6" borderId="7" xfId="0" applyFont="1" applyFill="1" applyBorder="1" applyAlignment="1">
      <alignment horizontal="center" vertical="center" wrapText="1"/>
    </xf>
    <xf numFmtId="0" fontId="0" fillId="0" borderId="8" xfId="0" applyBorder="1" applyAlignment="1">
      <alignment vertical="top" wrapText="1"/>
    </xf>
    <xf numFmtId="0" fontId="2" fillId="0" borderId="1" xfId="0" applyFont="1" applyBorder="1" applyAlignment="1">
      <alignment horizontal="center" vertical="top" wrapText="1"/>
    </xf>
    <xf numFmtId="0" fontId="2" fillId="2" borderId="9" xfId="0" applyFont="1" applyFill="1" applyBorder="1" applyAlignment="1">
      <alignment horizontal="center" vertical="top" wrapText="1"/>
    </xf>
    <xf numFmtId="0" fontId="3" fillId="0" borderId="1" xfId="0" applyFont="1" applyBorder="1" applyAlignment="1">
      <alignment vertical="top" wrapText="1"/>
    </xf>
    <xf numFmtId="0" fontId="0" fillId="0" borderId="6" xfId="0" applyBorder="1" applyAlignment="1">
      <alignment vertical="top" wrapText="1"/>
    </xf>
    <xf numFmtId="0" fontId="0" fillId="0" borderId="4" xfId="0" applyBorder="1" applyAlignment="1">
      <alignment vertical="top" wrapText="1"/>
    </xf>
    <xf numFmtId="0" fontId="2" fillId="0" borderId="4" xfId="0" applyFont="1" applyBorder="1" applyAlignment="1">
      <alignment horizontal="center" vertical="top" wrapText="1"/>
    </xf>
    <xf numFmtId="0" fontId="2" fillId="2" borderId="5" xfId="0" applyFont="1" applyFill="1" applyBorder="1" applyAlignment="1">
      <alignment horizontal="center" vertical="top" wrapText="1"/>
    </xf>
    <xf numFmtId="0" fontId="4" fillId="0" borderId="1" xfId="0" applyFont="1" applyBorder="1" applyAlignment="1">
      <alignment vertical="top" wrapText="1"/>
    </xf>
  </cellXfs>
  <cellStyles count="1">
    <cellStyle name="Normal" xfId="0" builtinId="0"/>
  </cellStyles>
  <dxfs count="15">
    <dxf>
      <font>
        <b val="0"/>
        <i val="0"/>
        <strike val="0"/>
        <condense val="0"/>
        <extend val="0"/>
        <outline val="0"/>
        <shadow val="0"/>
        <u val="none"/>
        <vertAlign val="baseline"/>
        <sz val="9"/>
        <color rgb="FF333333"/>
        <name val="Verdana"/>
        <family val="2"/>
        <scheme val="none"/>
      </font>
      <fill>
        <patternFill patternType="solid">
          <fgColor indexed="64"/>
          <bgColor rgb="FF92D050"/>
        </patternFill>
      </fill>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Verdana"/>
        <family val="2"/>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3" tint="0.39997558519241921"/>
        </patternFill>
      </fill>
      <alignment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Overall Test Results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15-7D4E-8D76-89EEF6E3E1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15-7D4E-8D76-89EEF6E3E1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15-7D4E-8D76-89EEF6E3E121}"/>
              </c:ext>
            </c:extLst>
          </c:dPt>
          <c:cat>
            <c:strRef>
              <c:f>'Overall Test Report'!$B$4:$B$6</c:f>
              <c:strCache>
                <c:ptCount val="3"/>
                <c:pt idx="0">
                  <c:v>Passed </c:v>
                </c:pt>
                <c:pt idx="1">
                  <c:v>Failed</c:v>
                </c:pt>
                <c:pt idx="2">
                  <c:v>Not Tested</c:v>
                </c:pt>
              </c:strCache>
            </c:strRef>
          </c:cat>
          <c:val>
            <c:numRef>
              <c:f>'Overall Test Report'!$C$4:$C$6</c:f>
              <c:numCache>
                <c:formatCode>General</c:formatCode>
                <c:ptCount val="3"/>
                <c:pt idx="0">
                  <c:v>32</c:v>
                </c:pt>
                <c:pt idx="1">
                  <c:v>0</c:v>
                </c:pt>
                <c:pt idx="2">
                  <c:v>0</c:v>
                </c:pt>
              </c:numCache>
            </c:numRef>
          </c:val>
          <c:extLst>
            <c:ext xmlns:c16="http://schemas.microsoft.com/office/drawing/2014/chart" uri="{C3380CC4-5D6E-409C-BE32-E72D297353CC}">
              <c16:uniqueId val="{00000003-AEF5-3948-8FEF-E80B443747DD}"/>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29865857392825895"/>
          <c:y val="0.8524300087489064"/>
          <c:w val="0.4554604111986002"/>
          <c:h val="0.11979221347331584"/>
        </c:manualLayout>
      </c:layout>
      <c:overlay val="0"/>
      <c:spPr>
        <a:noFill/>
        <a:ln>
          <a:noFill/>
        </a:ln>
        <a:effectLst/>
      </c:spPr>
      <c:txPr>
        <a:bodyPr rot="0" spcFirstLastPara="1" vertOverflow="ellipsis" vert="horz" wrap="square" anchor="ctr" anchorCtr="1"/>
        <a:lstStyle/>
        <a:p>
          <a:pPr rtl="0">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820963</xdr:colOff>
      <xdr:row>8</xdr:row>
      <xdr:rowOff>84364</xdr:rowOff>
    </xdr:from>
    <xdr:to>
      <xdr:col>6</xdr:col>
      <xdr:colOff>181429</xdr:colOff>
      <xdr:row>23</xdr:row>
      <xdr:rowOff>99785</xdr:rowOff>
    </xdr:to>
    <xdr:graphicFrame macro="">
      <xdr:nvGraphicFramePr>
        <xdr:cNvPr id="2" name="Chart 1">
          <a:extLst>
            <a:ext uri="{FF2B5EF4-FFF2-40B4-BE49-F238E27FC236}">
              <a16:creationId xmlns:a16="http://schemas.microsoft.com/office/drawing/2014/main" id="{CF851DD0-30D4-0A41-BB24-6502CEBBA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4EEA4-8E15-4497-9342-205C27A146DB}" name="Table1" displayName="Table1" ref="B2:K35" totalsRowShown="0" headerRowDxfId="14" dataDxfId="12" headerRowBorderDxfId="13" tableBorderDxfId="11" totalsRowBorderDxfId="10">
  <autoFilter ref="B2:K35" xr:uid="{C334EEA4-8E15-4497-9342-205C27A146DB}"/>
  <tableColumns count="10">
    <tableColumn id="1" xr3:uid="{BAE8BE23-2189-428E-9ED5-6AC6CBD7BB57}" name="TestCase_ID" dataDxfId="9">
      <calculatedColumnFormula>B2+1</calculatedColumnFormula>
    </tableColumn>
    <tableColumn id="2" xr3:uid="{970B603B-0C98-4FA5-80E2-FEFBA9082880}" name="Requirement_ID" dataDxfId="8"/>
    <tableColumn id="3" xr3:uid="{50DC30AF-E8FB-4599-95AB-9A60DA7A2589}" name="Requirement_ID2" dataDxfId="7"/>
    <tableColumn id="4" xr3:uid="{C902CD9C-06CE-47DD-A190-C65E95F0D1AE}" name="Priority" dataDxfId="6"/>
    <tableColumn id="5" xr3:uid="{1F89DE84-B2D9-493F-A79C-DAF9653AA7B2}" name="Description/Test Summary" dataDxfId="5"/>
    <tableColumn id="6" xr3:uid="{CC69D0F5-4FC2-45B7-AE27-9205ED303B6D}" name="Pre-Condition" dataDxfId="4"/>
    <tableColumn id="7" xr3:uid="{F0F1E19D-212D-40A4-AAAC-2E07F78350AF}" name="Test Steps" dataDxfId="3"/>
    <tableColumn id="8" xr3:uid="{9B37F5A4-DDAC-4640-97A8-D83B7B5C674B}" name="Expected Result" dataDxfId="2"/>
    <tableColumn id="9" xr3:uid="{C616C844-B17A-44F4-9200-D6A5C1F06E46}" name="Actual Result" dataDxfId="1"/>
    <tableColumn id="10" xr3:uid="{BC3207D1-42CC-4725-82A0-0BA8E541B034}" name="Test Result" dataDxfId="0"/>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6"/>
  <sheetViews>
    <sheetView topLeftCell="A18" zoomScale="129" workbookViewId="0">
      <selection activeCell="C4" sqref="C4"/>
    </sheetView>
  </sheetViews>
  <sheetFormatPr defaultColWidth="11.46484375" defaultRowHeight="14.25" x14ac:dyDescent="0.45"/>
  <cols>
    <col min="2" max="2" width="15.19921875" bestFit="1" customWidth="1"/>
  </cols>
  <sheetData>
    <row r="3" spans="2:3" x14ac:dyDescent="0.45">
      <c r="B3" s="1" t="s">
        <v>0</v>
      </c>
      <c r="C3" s="5">
        <f>COUNTIF('Test Cases &amp; Results'!B3:B72, "&lt;&gt;")</f>
        <v>33</v>
      </c>
    </row>
    <row r="4" spans="2:3" x14ac:dyDescent="0.45">
      <c r="B4" s="2" t="s">
        <v>1</v>
      </c>
      <c r="C4" s="5">
        <f>COUNTIF('Test Cases &amp; Results'!K3:K74, "Pass")</f>
        <v>32</v>
      </c>
    </row>
    <row r="5" spans="2:3" x14ac:dyDescent="0.45">
      <c r="B5" s="3" t="s">
        <v>2</v>
      </c>
      <c r="C5" s="5">
        <f>COUNTIF('Test Cases &amp; Results'!K3:K74, "Fail")</f>
        <v>0</v>
      </c>
    </row>
    <row r="6" spans="2:3" x14ac:dyDescent="0.45">
      <c r="B6" s="4" t="s">
        <v>3</v>
      </c>
      <c r="C6" s="5">
        <f>COUNTIF('Test Cases &amp; Results'!K3:K74, "Not Tested")</f>
        <v>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35"/>
  <sheetViews>
    <sheetView tabSelected="1" topLeftCell="I23" zoomScale="71" workbookViewId="0">
      <selection activeCell="I31" sqref="I31"/>
    </sheetView>
  </sheetViews>
  <sheetFormatPr defaultColWidth="8.86328125" defaultRowHeight="14.25" x14ac:dyDescent="0.45"/>
  <cols>
    <col min="1" max="1" width="8.86328125" customWidth="1"/>
    <col min="2" max="2" width="13.19921875" bestFit="1" customWidth="1"/>
    <col min="3" max="3" width="16.796875" bestFit="1" customWidth="1"/>
    <col min="4" max="4" width="17.796875" bestFit="1" customWidth="1"/>
    <col min="5" max="5" width="10.796875" bestFit="1" customWidth="1"/>
    <col min="6" max="6" width="72.06640625" bestFit="1" customWidth="1"/>
    <col min="7" max="7" width="56.796875" bestFit="1" customWidth="1"/>
    <col min="8" max="8" width="106.86328125" bestFit="1" customWidth="1"/>
    <col min="9" max="10" width="163.19921875" bestFit="1" customWidth="1"/>
    <col min="11" max="11" width="14.53125" style="6" bestFit="1" customWidth="1"/>
  </cols>
  <sheetData>
    <row r="2" spans="2:11" x14ac:dyDescent="0.45">
      <c r="B2" s="11" t="s">
        <v>4</v>
      </c>
      <c r="C2" s="12" t="s">
        <v>5</v>
      </c>
      <c r="D2" s="12" t="s">
        <v>109</v>
      </c>
      <c r="E2" s="12" t="s">
        <v>6</v>
      </c>
      <c r="F2" s="12" t="s">
        <v>7</v>
      </c>
      <c r="G2" s="12" t="s">
        <v>8</v>
      </c>
      <c r="H2" s="12" t="s">
        <v>9</v>
      </c>
      <c r="I2" s="12" t="s">
        <v>10</v>
      </c>
      <c r="J2" s="12" t="s">
        <v>11</v>
      </c>
      <c r="K2" s="13" t="s">
        <v>12</v>
      </c>
    </row>
    <row r="3" spans="2:11" ht="57" customHeight="1" x14ac:dyDescent="0.45">
      <c r="B3" s="14">
        <v>1</v>
      </c>
      <c r="C3" s="7">
        <v>1</v>
      </c>
      <c r="D3" s="15" t="s">
        <v>19</v>
      </c>
      <c r="E3" s="8" t="s">
        <v>16</v>
      </c>
      <c r="F3" s="8" t="s">
        <v>106</v>
      </c>
      <c r="G3" s="8" t="s">
        <v>107</v>
      </c>
      <c r="H3" s="9" t="s">
        <v>31</v>
      </c>
      <c r="I3" s="10" t="s">
        <v>32</v>
      </c>
      <c r="J3" s="10" t="s">
        <v>33</v>
      </c>
      <c r="K3" s="16" t="s">
        <v>14</v>
      </c>
    </row>
    <row r="4" spans="2:11" x14ac:dyDescent="0.45">
      <c r="B4" s="14">
        <f t="shared" ref="B4:B27" si="0">B3+1</f>
        <v>2</v>
      </c>
      <c r="C4" s="7">
        <v>2</v>
      </c>
      <c r="D4" s="15" t="s">
        <v>20</v>
      </c>
      <c r="E4" s="8" t="s">
        <v>13</v>
      </c>
      <c r="F4" s="8" t="s">
        <v>45</v>
      </c>
      <c r="G4" s="8" t="s">
        <v>46</v>
      </c>
      <c r="H4" s="9" t="s">
        <v>47</v>
      </c>
      <c r="I4" s="8" t="s">
        <v>48</v>
      </c>
      <c r="J4" s="8" t="s">
        <v>48</v>
      </c>
      <c r="K4" s="16" t="s">
        <v>14</v>
      </c>
    </row>
    <row r="5" spans="2:11" x14ac:dyDescent="0.45">
      <c r="B5" s="14">
        <f t="shared" si="0"/>
        <v>3</v>
      </c>
      <c r="C5" s="7">
        <v>3</v>
      </c>
      <c r="D5" s="15" t="s">
        <v>21</v>
      </c>
      <c r="E5" s="8" t="s">
        <v>16</v>
      </c>
      <c r="F5" s="8" t="s">
        <v>49</v>
      </c>
      <c r="G5" s="8" t="s">
        <v>50</v>
      </c>
      <c r="H5" s="9" t="s">
        <v>51</v>
      </c>
      <c r="I5" s="8" t="s">
        <v>52</v>
      </c>
      <c r="J5" s="8" t="s">
        <v>52</v>
      </c>
      <c r="K5" s="16" t="s">
        <v>14</v>
      </c>
    </row>
    <row r="6" spans="2:11" x14ac:dyDescent="0.45">
      <c r="B6" s="14">
        <f t="shared" si="0"/>
        <v>4</v>
      </c>
      <c r="C6" s="7">
        <v>4</v>
      </c>
      <c r="D6" s="15" t="s">
        <v>108</v>
      </c>
      <c r="E6" s="7" t="s">
        <v>16</v>
      </c>
      <c r="F6" s="17" t="s">
        <v>53</v>
      </c>
      <c r="G6" s="17" t="s">
        <v>50</v>
      </c>
      <c r="H6" s="7" t="s">
        <v>54</v>
      </c>
      <c r="I6" s="7" t="s">
        <v>55</v>
      </c>
      <c r="J6" s="7" t="s">
        <v>55</v>
      </c>
      <c r="K6" s="16" t="s">
        <v>14</v>
      </c>
    </row>
    <row r="7" spans="2:11" x14ac:dyDescent="0.45">
      <c r="B7" s="14">
        <f t="shared" si="0"/>
        <v>5</v>
      </c>
      <c r="C7" s="7">
        <v>5</v>
      </c>
      <c r="D7" s="15" t="s">
        <v>22</v>
      </c>
      <c r="E7" s="7" t="s">
        <v>16</v>
      </c>
      <c r="F7" s="7" t="s">
        <v>56</v>
      </c>
      <c r="G7" s="7" t="s">
        <v>57</v>
      </c>
      <c r="H7" s="7" t="s">
        <v>58</v>
      </c>
      <c r="I7" s="7" t="s">
        <v>59</v>
      </c>
      <c r="J7" s="7" t="s">
        <v>59</v>
      </c>
      <c r="K7" s="16" t="s">
        <v>14</v>
      </c>
    </row>
    <row r="8" spans="2:11" x14ac:dyDescent="0.45">
      <c r="B8" s="14">
        <f t="shared" si="0"/>
        <v>6</v>
      </c>
      <c r="C8" s="7">
        <v>6</v>
      </c>
      <c r="D8" s="15" t="s">
        <v>18</v>
      </c>
      <c r="E8" s="7" t="s">
        <v>16</v>
      </c>
      <c r="F8" s="7" t="s">
        <v>60</v>
      </c>
      <c r="G8" s="7" t="s">
        <v>61</v>
      </c>
      <c r="H8" s="7" t="s">
        <v>62</v>
      </c>
      <c r="I8" s="7" t="s">
        <v>63</v>
      </c>
      <c r="J8" s="7" t="s">
        <v>63</v>
      </c>
      <c r="K8" s="16" t="s">
        <v>14</v>
      </c>
    </row>
    <row r="9" spans="2:11" x14ac:dyDescent="0.45">
      <c r="B9" s="14">
        <f t="shared" si="0"/>
        <v>7</v>
      </c>
      <c r="C9" s="7">
        <v>7</v>
      </c>
      <c r="D9" s="15" t="s">
        <v>23</v>
      </c>
      <c r="E9" s="7" t="s">
        <v>13</v>
      </c>
      <c r="F9" s="7" t="s">
        <v>110</v>
      </c>
      <c r="G9" s="7" t="s">
        <v>64</v>
      </c>
      <c r="H9" s="7" t="s">
        <v>65</v>
      </c>
      <c r="I9" s="7" t="s">
        <v>66</v>
      </c>
      <c r="J9" s="7" t="s">
        <v>66</v>
      </c>
      <c r="K9" s="16" t="s">
        <v>14</v>
      </c>
    </row>
    <row r="10" spans="2:11" x14ac:dyDescent="0.45">
      <c r="B10" s="14">
        <f t="shared" si="0"/>
        <v>8</v>
      </c>
      <c r="C10" s="7">
        <v>8</v>
      </c>
      <c r="D10" s="15" t="s">
        <v>24</v>
      </c>
      <c r="E10" s="7" t="s">
        <v>16</v>
      </c>
      <c r="F10" s="7" t="s">
        <v>111</v>
      </c>
      <c r="G10" s="7" t="s">
        <v>67</v>
      </c>
      <c r="H10" s="7" t="s">
        <v>112</v>
      </c>
      <c r="I10" s="7" t="s">
        <v>113</v>
      </c>
      <c r="J10" s="7" t="s">
        <v>113</v>
      </c>
      <c r="K10" s="16" t="s">
        <v>14</v>
      </c>
    </row>
    <row r="11" spans="2:11" x14ac:dyDescent="0.45">
      <c r="B11" s="14">
        <f t="shared" si="0"/>
        <v>9</v>
      </c>
      <c r="C11" s="7">
        <v>9</v>
      </c>
      <c r="D11" s="15" t="s">
        <v>25</v>
      </c>
      <c r="E11" s="7" t="s">
        <v>13</v>
      </c>
      <c r="F11" s="7" t="s">
        <v>71</v>
      </c>
      <c r="G11" s="7" t="s">
        <v>68</v>
      </c>
      <c r="H11" s="7" t="s">
        <v>69</v>
      </c>
      <c r="I11" s="7" t="s">
        <v>70</v>
      </c>
      <c r="J11" s="7" t="s">
        <v>70</v>
      </c>
      <c r="K11" s="16" t="s">
        <v>14</v>
      </c>
    </row>
    <row r="12" spans="2:11" x14ac:dyDescent="0.45">
      <c r="B12" s="14">
        <f t="shared" si="0"/>
        <v>10</v>
      </c>
      <c r="C12" s="7">
        <v>10</v>
      </c>
      <c r="D12" s="15" t="s">
        <v>26</v>
      </c>
      <c r="E12" s="7" t="s">
        <v>16</v>
      </c>
      <c r="F12" s="7" t="s">
        <v>72</v>
      </c>
      <c r="G12" s="7" t="s">
        <v>73</v>
      </c>
      <c r="H12" s="7" t="s">
        <v>74</v>
      </c>
      <c r="I12" s="7" t="s">
        <v>75</v>
      </c>
      <c r="J12" s="7" t="s">
        <v>75</v>
      </c>
      <c r="K12" s="16" t="s">
        <v>14</v>
      </c>
    </row>
    <row r="13" spans="2:11" x14ac:dyDescent="0.45">
      <c r="B13" s="14">
        <f t="shared" si="0"/>
        <v>11</v>
      </c>
      <c r="C13" s="7">
        <v>11</v>
      </c>
      <c r="D13" s="15" t="s">
        <v>27</v>
      </c>
      <c r="E13" s="7" t="s">
        <v>16</v>
      </c>
      <c r="F13" s="7" t="s">
        <v>76</v>
      </c>
      <c r="G13" s="7" t="s">
        <v>76</v>
      </c>
      <c r="H13" s="7" t="s">
        <v>77</v>
      </c>
      <c r="I13" s="7" t="s">
        <v>84</v>
      </c>
      <c r="J13" s="7" t="s">
        <v>84</v>
      </c>
      <c r="K13" s="16" t="s">
        <v>14</v>
      </c>
    </row>
    <row r="14" spans="2:11" x14ac:dyDescent="0.45">
      <c r="B14" s="14">
        <f t="shared" si="0"/>
        <v>12</v>
      </c>
      <c r="C14" s="7">
        <v>12</v>
      </c>
      <c r="D14" s="15" t="s">
        <v>28</v>
      </c>
      <c r="E14" s="7" t="s">
        <v>16</v>
      </c>
      <c r="F14" s="7" t="s">
        <v>114</v>
      </c>
      <c r="G14" s="7" t="s">
        <v>115</v>
      </c>
      <c r="H14" s="7" t="s">
        <v>78</v>
      </c>
      <c r="I14" s="7" t="s">
        <v>116</v>
      </c>
      <c r="J14" s="7" t="s">
        <v>116</v>
      </c>
      <c r="K14" s="16" t="s">
        <v>14</v>
      </c>
    </row>
    <row r="15" spans="2:11" x14ac:dyDescent="0.45">
      <c r="B15" s="14">
        <f t="shared" si="0"/>
        <v>13</v>
      </c>
      <c r="C15" s="7">
        <v>13</v>
      </c>
      <c r="D15" s="15" t="s">
        <v>29</v>
      </c>
      <c r="E15" s="7" t="s">
        <v>16</v>
      </c>
      <c r="F15" s="7" t="s">
        <v>79</v>
      </c>
      <c r="G15" s="7" t="s">
        <v>80</v>
      </c>
      <c r="H15" s="7" t="s">
        <v>117</v>
      </c>
      <c r="I15" s="7" t="s">
        <v>81</v>
      </c>
      <c r="J15" s="7" t="s">
        <v>81</v>
      </c>
      <c r="K15" s="16" t="s">
        <v>14</v>
      </c>
    </row>
    <row r="16" spans="2:11" ht="128.25" x14ac:dyDescent="0.45">
      <c r="B16" s="14">
        <f t="shared" si="0"/>
        <v>14</v>
      </c>
      <c r="C16" s="7">
        <v>14</v>
      </c>
      <c r="D16" s="15" t="s">
        <v>30</v>
      </c>
      <c r="E16" s="7" t="s">
        <v>16</v>
      </c>
      <c r="F16" s="7" t="s">
        <v>82</v>
      </c>
      <c r="G16" s="7" t="s">
        <v>83</v>
      </c>
      <c r="H16" s="7" t="s">
        <v>118</v>
      </c>
      <c r="I16" s="7" t="s">
        <v>119</v>
      </c>
      <c r="J16" s="7" t="s">
        <v>119</v>
      </c>
      <c r="K16" s="16" t="s">
        <v>14</v>
      </c>
    </row>
    <row r="17" spans="2:11" ht="213.75" x14ac:dyDescent="0.45">
      <c r="B17" s="14">
        <f t="shared" si="0"/>
        <v>15</v>
      </c>
      <c r="C17" s="7">
        <v>15</v>
      </c>
      <c r="D17" s="15" t="s">
        <v>34</v>
      </c>
      <c r="E17" s="7" t="s">
        <v>16</v>
      </c>
      <c r="F17" s="7" t="s">
        <v>85</v>
      </c>
      <c r="G17" s="7" t="s">
        <v>120</v>
      </c>
      <c r="H17" s="7" t="s">
        <v>121</v>
      </c>
      <c r="I17" s="7" t="s">
        <v>122</v>
      </c>
      <c r="J17" s="7" t="s">
        <v>123</v>
      </c>
      <c r="K17" s="16" t="s">
        <v>14</v>
      </c>
    </row>
    <row r="18" spans="2:11" x14ac:dyDescent="0.45">
      <c r="B18" s="14">
        <f t="shared" si="0"/>
        <v>16</v>
      </c>
      <c r="C18" s="7">
        <v>16</v>
      </c>
      <c r="D18" s="15" t="s">
        <v>35</v>
      </c>
      <c r="E18" s="7" t="s">
        <v>16</v>
      </c>
      <c r="F18" s="7" t="s">
        <v>86</v>
      </c>
      <c r="G18" s="7" t="s">
        <v>87</v>
      </c>
      <c r="H18" s="7" t="s">
        <v>124</v>
      </c>
      <c r="I18" s="7" t="s">
        <v>125</v>
      </c>
      <c r="J18" s="7" t="s">
        <v>125</v>
      </c>
      <c r="K18" s="16" t="s">
        <v>14</v>
      </c>
    </row>
    <row r="19" spans="2:11" ht="99.75" x14ac:dyDescent="0.45">
      <c r="B19" s="14">
        <f t="shared" si="0"/>
        <v>17</v>
      </c>
      <c r="C19" s="7">
        <v>17</v>
      </c>
      <c r="D19" s="15" t="s">
        <v>36</v>
      </c>
      <c r="E19" s="7" t="s">
        <v>13</v>
      </c>
      <c r="F19" s="7" t="s">
        <v>126</v>
      </c>
      <c r="G19" s="7" t="s">
        <v>88</v>
      </c>
      <c r="H19" s="7" t="s">
        <v>127</v>
      </c>
      <c r="I19" s="7" t="s">
        <v>128</v>
      </c>
      <c r="J19" s="7" t="s">
        <v>128</v>
      </c>
      <c r="K19" s="16" t="s">
        <v>14</v>
      </c>
    </row>
    <row r="20" spans="2:11" ht="42.75" x14ac:dyDescent="0.45">
      <c r="B20" s="14">
        <f t="shared" si="0"/>
        <v>18</v>
      </c>
      <c r="C20" s="7">
        <v>18</v>
      </c>
      <c r="D20" s="15" t="s">
        <v>37</v>
      </c>
      <c r="E20" s="7" t="s">
        <v>13</v>
      </c>
      <c r="F20" s="7" t="s">
        <v>89</v>
      </c>
      <c r="G20" s="7" t="s">
        <v>130</v>
      </c>
      <c r="H20" s="7" t="s">
        <v>90</v>
      </c>
      <c r="I20" s="7" t="s">
        <v>131</v>
      </c>
      <c r="J20" s="7" t="s">
        <v>132</v>
      </c>
      <c r="K20" s="16" t="s">
        <v>14</v>
      </c>
    </row>
    <row r="21" spans="2:11" x14ac:dyDescent="0.45">
      <c r="B21" s="14">
        <f t="shared" si="0"/>
        <v>19</v>
      </c>
      <c r="C21" s="7">
        <v>19</v>
      </c>
      <c r="D21" s="15" t="s">
        <v>38</v>
      </c>
      <c r="E21" s="7" t="s">
        <v>16</v>
      </c>
      <c r="F21" s="7" t="s">
        <v>91</v>
      </c>
      <c r="G21" s="7" t="s">
        <v>93</v>
      </c>
      <c r="H21" s="7" t="s">
        <v>92</v>
      </c>
      <c r="I21" s="7" t="s">
        <v>133</v>
      </c>
      <c r="J21" s="7" t="s">
        <v>133</v>
      </c>
      <c r="K21" s="16" t="s">
        <v>14</v>
      </c>
    </row>
    <row r="22" spans="2:11" ht="28.5" x14ac:dyDescent="0.45">
      <c r="B22" s="14">
        <f t="shared" si="0"/>
        <v>20</v>
      </c>
      <c r="C22" s="7">
        <v>20</v>
      </c>
      <c r="D22" s="15" t="s">
        <v>39</v>
      </c>
      <c r="E22" s="7" t="s">
        <v>16</v>
      </c>
      <c r="F22" s="7" t="s">
        <v>94</v>
      </c>
      <c r="G22" s="7" t="s">
        <v>95</v>
      </c>
      <c r="H22" s="7" t="s">
        <v>134</v>
      </c>
      <c r="I22" s="7" t="s">
        <v>135</v>
      </c>
      <c r="J22" s="7" t="s">
        <v>135</v>
      </c>
      <c r="K22" s="16" t="s">
        <v>14</v>
      </c>
    </row>
    <row r="23" spans="2:11" ht="42.75" x14ac:dyDescent="0.45">
      <c r="B23" s="14">
        <f t="shared" si="0"/>
        <v>21</v>
      </c>
      <c r="C23" s="7">
        <v>21</v>
      </c>
      <c r="D23" s="15" t="s">
        <v>40</v>
      </c>
      <c r="E23" s="7" t="s">
        <v>16</v>
      </c>
      <c r="F23" s="7" t="s">
        <v>96</v>
      </c>
      <c r="G23" s="7" t="s">
        <v>97</v>
      </c>
      <c r="H23" s="7" t="s">
        <v>98</v>
      </c>
      <c r="I23" s="7" t="s">
        <v>136</v>
      </c>
      <c r="J23" s="7" t="s">
        <v>136</v>
      </c>
      <c r="K23" s="16" t="s">
        <v>14</v>
      </c>
    </row>
    <row r="24" spans="2:11" ht="142.5" x14ac:dyDescent="0.45">
      <c r="B24" s="14">
        <f t="shared" si="0"/>
        <v>22</v>
      </c>
      <c r="C24" s="7">
        <v>22</v>
      </c>
      <c r="D24" s="15" t="s">
        <v>41</v>
      </c>
      <c r="E24" s="7" t="s">
        <v>13</v>
      </c>
      <c r="F24" s="7" t="s">
        <v>99</v>
      </c>
      <c r="G24" s="7" t="s">
        <v>137</v>
      </c>
      <c r="H24" s="7" t="s">
        <v>138</v>
      </c>
      <c r="I24" s="7" t="s">
        <v>139</v>
      </c>
      <c r="J24" s="7" t="s">
        <v>139</v>
      </c>
      <c r="K24" s="16" t="s">
        <v>14</v>
      </c>
    </row>
    <row r="25" spans="2:11" ht="28.5" x14ac:dyDescent="0.45">
      <c r="B25" s="14">
        <f t="shared" si="0"/>
        <v>23</v>
      </c>
      <c r="C25" s="7">
        <v>23</v>
      </c>
      <c r="D25" s="15" t="s">
        <v>42</v>
      </c>
      <c r="E25" s="7" t="s">
        <v>129</v>
      </c>
      <c r="F25" s="7" t="s">
        <v>141</v>
      </c>
      <c r="G25" s="7" t="s">
        <v>140</v>
      </c>
      <c r="H25" s="7" t="s">
        <v>142</v>
      </c>
      <c r="I25" s="7" t="s">
        <v>143</v>
      </c>
      <c r="J25" s="7" t="s">
        <v>100</v>
      </c>
      <c r="K25" s="16" t="s">
        <v>14</v>
      </c>
    </row>
    <row r="26" spans="2:11" ht="28.5" x14ac:dyDescent="0.45">
      <c r="B26" s="14">
        <f t="shared" si="0"/>
        <v>24</v>
      </c>
      <c r="C26" s="7">
        <v>24</v>
      </c>
      <c r="D26" s="15" t="s">
        <v>43</v>
      </c>
      <c r="E26" s="7" t="s">
        <v>17</v>
      </c>
      <c r="F26" s="7" t="s">
        <v>101</v>
      </c>
      <c r="G26" s="19" t="s">
        <v>104</v>
      </c>
      <c r="H26" s="7" t="s">
        <v>144</v>
      </c>
      <c r="I26" s="7" t="s">
        <v>102</v>
      </c>
      <c r="J26" s="7" t="s">
        <v>102</v>
      </c>
      <c r="K26" s="16" t="s">
        <v>14</v>
      </c>
    </row>
    <row r="27" spans="2:11" ht="28.5" x14ac:dyDescent="0.45">
      <c r="B27" s="18">
        <f t="shared" si="0"/>
        <v>25</v>
      </c>
      <c r="C27" s="19">
        <v>25</v>
      </c>
      <c r="D27" s="20" t="s">
        <v>44</v>
      </c>
      <c r="E27" s="19" t="s">
        <v>17</v>
      </c>
      <c r="F27" s="19" t="s">
        <v>103</v>
      </c>
      <c r="G27" s="19" t="s">
        <v>104</v>
      </c>
      <c r="H27" s="19" t="s">
        <v>145</v>
      </c>
      <c r="I27" s="19" t="s">
        <v>105</v>
      </c>
      <c r="J27" s="19" t="s">
        <v>105</v>
      </c>
      <c r="K27" s="21" t="s">
        <v>14</v>
      </c>
    </row>
    <row r="28" spans="2:11" ht="36" x14ac:dyDescent="0.45">
      <c r="B28" s="14">
        <f>B27+1</f>
        <v>26</v>
      </c>
      <c r="C28" s="7"/>
      <c r="D28" s="15"/>
      <c r="E28" s="7"/>
      <c r="F28" s="22" t="s">
        <v>187</v>
      </c>
      <c r="G28" s="7"/>
      <c r="H28" s="7"/>
      <c r="I28" s="7"/>
      <c r="J28" s="7"/>
      <c r="K28" s="16"/>
    </row>
    <row r="29" spans="2:11" ht="28.5" x14ac:dyDescent="0.45">
      <c r="B29" s="18">
        <v>26</v>
      </c>
      <c r="C29" s="19">
        <v>26</v>
      </c>
      <c r="D29" s="20" t="s">
        <v>146</v>
      </c>
      <c r="E29" s="19" t="s">
        <v>16</v>
      </c>
      <c r="F29" s="19" t="s">
        <v>147</v>
      </c>
      <c r="G29" s="19" t="s">
        <v>148</v>
      </c>
      <c r="H29" s="19" t="s">
        <v>149</v>
      </c>
      <c r="I29" s="19" t="s">
        <v>188</v>
      </c>
      <c r="J29" s="19" t="s">
        <v>150</v>
      </c>
      <c r="K29" s="21" t="s">
        <v>14</v>
      </c>
    </row>
    <row r="30" spans="2:11" x14ac:dyDescent="0.45">
      <c r="B30" s="18">
        <v>27</v>
      </c>
      <c r="C30" s="19">
        <v>27</v>
      </c>
      <c r="D30" s="20" t="s">
        <v>151</v>
      </c>
      <c r="E30" s="19" t="s">
        <v>16</v>
      </c>
      <c r="F30" s="19" t="s">
        <v>152</v>
      </c>
      <c r="G30" s="19" t="s">
        <v>153</v>
      </c>
      <c r="H30" s="19" t="s">
        <v>154</v>
      </c>
      <c r="I30" s="19" t="s">
        <v>155</v>
      </c>
      <c r="J30" s="19" t="s">
        <v>156</v>
      </c>
      <c r="K30" s="21" t="s">
        <v>14</v>
      </c>
    </row>
    <row r="31" spans="2:11" ht="28.5" x14ac:dyDescent="0.45">
      <c r="B31" s="18">
        <v>28</v>
      </c>
      <c r="C31" s="19">
        <v>28</v>
      </c>
      <c r="D31" s="20" t="s">
        <v>157</v>
      </c>
      <c r="E31" s="19" t="s">
        <v>16</v>
      </c>
      <c r="F31" s="19" t="s">
        <v>158</v>
      </c>
      <c r="G31" s="19" t="s">
        <v>159</v>
      </c>
      <c r="H31" s="19" t="s">
        <v>160</v>
      </c>
      <c r="I31" s="19" t="s">
        <v>189</v>
      </c>
      <c r="J31" s="19" t="s">
        <v>161</v>
      </c>
      <c r="K31" s="21" t="s">
        <v>14</v>
      </c>
    </row>
    <row r="32" spans="2:11" x14ac:dyDescent="0.45">
      <c r="B32" s="14">
        <f>B31+1</f>
        <v>29</v>
      </c>
      <c r="C32" s="7">
        <v>29</v>
      </c>
      <c r="D32" s="15" t="s">
        <v>162</v>
      </c>
      <c r="E32" s="7" t="s">
        <v>16</v>
      </c>
      <c r="F32" s="7" t="s">
        <v>163</v>
      </c>
      <c r="G32" s="7" t="s">
        <v>164</v>
      </c>
      <c r="H32" s="7" t="s">
        <v>165</v>
      </c>
      <c r="I32" s="7" t="s">
        <v>166</v>
      </c>
      <c r="J32" s="7" t="s">
        <v>167</v>
      </c>
      <c r="K32" s="16" t="s">
        <v>178</v>
      </c>
    </row>
    <row r="33" spans="2:11" ht="28.5" x14ac:dyDescent="0.45">
      <c r="B33" s="18">
        <f>B32+1</f>
        <v>30</v>
      </c>
      <c r="C33" s="19">
        <v>30</v>
      </c>
      <c r="D33" s="20" t="s">
        <v>184</v>
      </c>
      <c r="E33" s="19" t="s">
        <v>13</v>
      </c>
      <c r="F33" s="19" t="s">
        <v>168</v>
      </c>
      <c r="G33" s="19" t="s">
        <v>169</v>
      </c>
      <c r="H33" s="19" t="s">
        <v>170</v>
      </c>
      <c r="I33" s="19" t="s">
        <v>171</v>
      </c>
      <c r="J33" s="19" t="s">
        <v>172</v>
      </c>
      <c r="K33" s="21" t="s">
        <v>14</v>
      </c>
    </row>
    <row r="34" spans="2:11" ht="28.5" x14ac:dyDescent="0.45">
      <c r="B34" s="18">
        <f>B33+1</f>
        <v>31</v>
      </c>
      <c r="C34" s="19">
        <v>31</v>
      </c>
      <c r="D34" s="20" t="s">
        <v>185</v>
      </c>
      <c r="E34" s="19" t="s">
        <v>16</v>
      </c>
      <c r="F34" s="19" t="s">
        <v>173</v>
      </c>
      <c r="G34" s="19" t="s">
        <v>174</v>
      </c>
      <c r="H34" s="19" t="s">
        <v>176</v>
      </c>
      <c r="I34" s="19" t="s">
        <v>175</v>
      </c>
      <c r="J34" s="19" t="s">
        <v>177</v>
      </c>
      <c r="K34" s="21" t="s">
        <v>178</v>
      </c>
    </row>
    <row r="35" spans="2:11" x14ac:dyDescent="0.45">
      <c r="B35" s="18">
        <f>B34+1</f>
        <v>32</v>
      </c>
      <c r="C35" s="19">
        <v>32</v>
      </c>
      <c r="D35" s="20" t="s">
        <v>186</v>
      </c>
      <c r="E35" s="19" t="s">
        <v>16</v>
      </c>
      <c r="F35" s="19" t="s">
        <v>179</v>
      </c>
      <c r="G35" s="19" t="s">
        <v>180</v>
      </c>
      <c r="H35" s="19" t="s">
        <v>181</v>
      </c>
      <c r="I35" s="19" t="s">
        <v>182</v>
      </c>
      <c r="J35" s="19" t="s">
        <v>183</v>
      </c>
      <c r="K35" s="21" t="s">
        <v>178</v>
      </c>
    </row>
  </sheetData>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100-000000000000}">
          <x14:formula1>
            <xm:f>Enums!$B$8:$B$10</xm:f>
          </x14:formula1>
          <xm:sqref>E3:E5</xm:sqref>
        </x14:dataValidation>
        <x14:dataValidation type="list" allowBlank="1" showInputMessage="1" showErrorMessage="1" xr:uid="{00000000-0002-0000-0100-000001000000}">
          <x14:formula1>
            <xm:f>Enums!$B$2:$B$4</xm:f>
          </x14:formula1>
          <xm:sqref>K3:K21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0"/>
  <sheetViews>
    <sheetView workbookViewId="0">
      <selection activeCell="B5" sqref="B5"/>
    </sheetView>
  </sheetViews>
  <sheetFormatPr defaultColWidth="11.46484375" defaultRowHeight="14.25" x14ac:dyDescent="0.45"/>
  <sheetData>
    <row r="2" spans="2:2" x14ac:dyDescent="0.45">
      <c r="B2" t="s">
        <v>14</v>
      </c>
    </row>
    <row r="3" spans="2:2" x14ac:dyDescent="0.45">
      <c r="B3" t="s">
        <v>15</v>
      </c>
    </row>
    <row r="4" spans="2:2" x14ac:dyDescent="0.45">
      <c r="B4" t="s">
        <v>3</v>
      </c>
    </row>
    <row r="8" spans="2:2" x14ac:dyDescent="0.45">
      <c r="B8" t="s">
        <v>16</v>
      </c>
    </row>
    <row r="9" spans="2:2" x14ac:dyDescent="0.45">
      <c r="B9" t="s">
        <v>13</v>
      </c>
    </row>
    <row r="10" spans="2:2" x14ac:dyDescent="0.45">
      <c r="B10" t="s">
        <v>17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1D8C8DDAE8BD44A422697963F06C45" ma:contentTypeVersion="6" ma:contentTypeDescription="Create a new document." ma:contentTypeScope="" ma:versionID="b6816e004dbb89c674e51f5647972552">
  <xsd:schema xmlns:xsd="http://www.w3.org/2001/XMLSchema" xmlns:xs="http://www.w3.org/2001/XMLSchema" xmlns:p="http://schemas.microsoft.com/office/2006/metadata/properties" xmlns:ns2="2b02348f-b4e3-458c-83fc-9e90db0f8029" targetNamespace="http://schemas.microsoft.com/office/2006/metadata/properties" ma:root="true" ma:fieldsID="e6418ca14ac9ee17b8bbf6df78e0c223" ns2:_="">
    <xsd:import namespace="2b02348f-b4e3-458c-83fc-9e90db0f80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02348f-b4e3-458c-83fc-9e90db0f80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DB72C7-DF0B-4E18-8174-00AB852E6FB4}">
  <ds:schemaRefs>
    <ds:schemaRef ds:uri="http://schemas.microsoft.com/office/2006/documentManagement/types"/>
    <ds:schemaRef ds:uri="http://purl.org/dc/elements/1.1/"/>
    <ds:schemaRef ds:uri="http://purl.org/dc/terms/"/>
    <ds:schemaRef ds:uri="http://schemas.microsoft.com/office/2006/metadata/properties"/>
    <ds:schemaRef ds:uri="2b02348f-b4e3-458c-83fc-9e90db0f8029"/>
    <ds:schemaRef ds:uri="http://schemas.microsoft.com/office/infopath/2007/PartnerControls"/>
    <ds:schemaRef ds:uri="http://www.w3.org/XML/1998/namespace"/>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859B513B-8BED-4B59-B224-E0A2C6173D25}">
  <ds:schemaRefs>
    <ds:schemaRef ds:uri="http://schemas.microsoft.com/sharepoint/v3/contenttype/forms"/>
  </ds:schemaRefs>
</ds:datastoreItem>
</file>

<file path=customXml/itemProps3.xml><?xml version="1.0" encoding="utf-8"?>
<ds:datastoreItem xmlns:ds="http://schemas.openxmlformats.org/officeDocument/2006/customXml" ds:itemID="{BCDB6385-31B2-4574-9AA4-BF13B563A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02348f-b4e3-458c-83fc-9e90db0f80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Overall Test Report</vt:lpstr>
      <vt:lpstr>Test Cases &amp; Results</vt:lpstr>
      <vt:lpstr>Enums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2025-08-17T17:38:26Z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0x010100E81D8C8DDAE8BD44A422697963F06C45</vt:lpwstr>
  </property>
</Properties>
</file>